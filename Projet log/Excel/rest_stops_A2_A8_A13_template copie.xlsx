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ceanecarrillo/Documents/SMT E4S/MA2/Logistic/Projet log/Excel/"/>
    </mc:Choice>
  </mc:AlternateContent>
  <xr:revisionPtr revIDLastSave="0" documentId="8_{B5116D49-6967-8847-AC58-8F16D3ED79F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G19" i="1"/>
  <c r="H18" i="1"/>
  <c r="G18" i="1"/>
  <c r="H17" i="1"/>
  <c r="G17" i="1"/>
  <c r="H15" i="1"/>
  <c r="H13" i="1"/>
  <c r="H11" i="1"/>
  <c r="H9" i="1"/>
  <c r="H8" i="1"/>
  <c r="H5" i="1"/>
  <c r="H4" i="1"/>
  <c r="G15" i="1"/>
  <c r="G13" i="1"/>
  <c r="G11" i="1"/>
  <c r="G9" i="1"/>
  <c r="G8" i="1"/>
  <c r="G4" i="1"/>
  <c r="G5" i="1"/>
</calcChain>
</file>

<file path=xl/sharedStrings.xml><?xml version="1.0" encoding="utf-8"?>
<sst xmlns="http://schemas.openxmlformats.org/spreadsheetml/2006/main" count="112" uniqueCount="44">
  <si>
    <t>Highway</t>
  </si>
  <si>
    <t>Canton</t>
  </si>
  <si>
    <t>Rest stop name</t>
  </si>
  <si>
    <t>Direction</t>
  </si>
  <si>
    <t>A2</t>
  </si>
  <si>
    <t>A13</t>
  </si>
  <si>
    <t>Basel-Stadt</t>
  </si>
  <si>
    <t>Basel-Land</t>
  </si>
  <si>
    <t>Solothurn</t>
  </si>
  <si>
    <t>Luzern</t>
  </si>
  <si>
    <t>Uri</t>
  </si>
  <si>
    <t>Tessin</t>
  </si>
  <si>
    <t>St. Gallen</t>
  </si>
  <si>
    <t>Graubünden</t>
  </si>
  <si>
    <t>Basel-Weil</t>
  </si>
  <si>
    <t>Pratteln</t>
  </si>
  <si>
    <t>Eggberg</t>
  </si>
  <si>
    <t>Teufengraben</t>
  </si>
  <si>
    <t>Neuenkirch West</t>
  </si>
  <si>
    <t>Neuenkirch Ost</t>
  </si>
  <si>
    <t>Gotthard</t>
  </si>
  <si>
    <t>Quinto</t>
  </si>
  <si>
    <t>Stalvedro</t>
  </si>
  <si>
    <t>Bellinzona Nord</t>
  </si>
  <si>
    <t>Bellinzona Süd</t>
  </si>
  <si>
    <t>Coldrerio West</t>
  </si>
  <si>
    <t>Coldrerio Ost</t>
  </si>
  <si>
    <t>Rheintal</t>
  </si>
  <si>
    <t>Heidiland</t>
  </si>
  <si>
    <t>Viamala</t>
  </si>
  <si>
    <t>Campagnola Nord</t>
  </si>
  <si>
    <t>Campagnola (name unclear in source image)</t>
  </si>
  <si>
    <t>Chiasso (TI) Grenze I</t>
  </si>
  <si>
    <t>Basel (BS) Grenze DE</t>
  </si>
  <si>
    <t>Ascona (TI)</t>
  </si>
  <si>
    <t>St. Margrethen (SG) Grenze A</t>
  </si>
  <si>
    <t>Time (minutes) from the beginning</t>
  </si>
  <si>
    <t>Nb of km from the beginning of the highway</t>
  </si>
  <si>
    <t>Nb of km from the end of the highway</t>
  </si>
  <si>
    <t>Time (minutes) from the end</t>
  </si>
  <si>
    <t>Basel (BS) Grenze DE (beginning)</t>
  </si>
  <si>
    <t>Chiasso (TI) Grenze I (end)</t>
  </si>
  <si>
    <t>EV Chargeur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</si>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</sst>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Times"/>
    </font>
    <font>
      <sz val="14"/>
      <color rgb="FF000000"/>
      <name val="Time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2" xfId="0" applyNumberFormat="1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1"/>
    <xf numFmtId="0" fontId="3" fillId="0" borderId="0" xfId="0" applyFont="1"/>
    <xf numFmtId="0" fontId="4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zoomScale="75" workbookViewId="0">
      <selection activeCell="E30" sqref="E30"/>
    </sheetView>
  </sheetViews>
  <sheetFormatPr baseColWidth="10" defaultColWidth="8.83203125" defaultRowHeight="15"/>
  <cols>
    <col min="2" max="2" width="15.83203125" customWidth="1"/>
    <col min="3" max="3" width="25.83203125" customWidth="1"/>
    <col min="4" max="4" width="30.6640625" customWidth="1"/>
    <col min="5" max="5" width="36.1640625" style="4" customWidth="1"/>
    <col min="6" max="6" width="33" customWidth="1"/>
    <col min="7" max="7" width="32.5" customWidth="1"/>
    <col min="8" max="8" width="26.33203125" customWidth="1"/>
    <col min="9" max="9" width="20.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3" t="s">
        <v>37</v>
      </c>
      <c r="F1" s="2" t="s">
        <v>36</v>
      </c>
      <c r="G1" s="3" t="s">
        <v>38</v>
      </c>
      <c r="H1" s="2" t="s">
        <v>39</v>
      </c>
      <c r="I1" s="5" t="s">
        <v>42</v>
      </c>
    </row>
    <row r="2" spans="1:9">
      <c r="A2" t="s">
        <v>4</v>
      </c>
      <c r="B2" t="s">
        <v>6</v>
      </c>
      <c r="C2" t="s">
        <v>14</v>
      </c>
      <c r="D2" t="s">
        <v>32</v>
      </c>
      <c r="E2" s="4">
        <v>0</v>
      </c>
      <c r="F2">
        <v>0</v>
      </c>
      <c r="G2">
        <v>291</v>
      </c>
      <c r="H2">
        <v>190</v>
      </c>
      <c r="I2">
        <v>0</v>
      </c>
    </row>
    <row r="3" spans="1:9">
      <c r="A3" t="s">
        <v>4</v>
      </c>
      <c r="B3" t="s">
        <v>7</v>
      </c>
      <c r="C3" t="s">
        <v>15</v>
      </c>
      <c r="D3" t="s">
        <v>32</v>
      </c>
      <c r="E3" s="4">
        <v>12.1</v>
      </c>
      <c r="F3">
        <v>12</v>
      </c>
      <c r="G3" s="4" t="s">
        <v>43</v>
      </c>
      <c r="H3" t="s">
        <v>43</v>
      </c>
      <c r="I3">
        <v>0</v>
      </c>
    </row>
    <row r="4" spans="1:9">
      <c r="A4" t="s">
        <v>4</v>
      </c>
      <c r="B4" t="s">
        <v>7</v>
      </c>
      <c r="C4" t="s">
        <v>15</v>
      </c>
      <c r="D4" t="s">
        <v>33</v>
      </c>
      <c r="E4" s="4" t="s">
        <v>43</v>
      </c>
      <c r="F4" t="s">
        <v>43</v>
      </c>
      <c r="G4" s="4">
        <f>G2-12.1</f>
        <v>278.89999999999998</v>
      </c>
      <c r="H4">
        <f>H2-12</f>
        <v>178</v>
      </c>
      <c r="I4">
        <v>0</v>
      </c>
    </row>
    <row r="5" spans="1:9">
      <c r="A5" t="s">
        <v>4</v>
      </c>
      <c r="B5" t="s">
        <v>8</v>
      </c>
      <c r="C5" t="s">
        <v>16</v>
      </c>
      <c r="D5" t="s">
        <v>33</v>
      </c>
      <c r="E5" s="4" t="s">
        <v>43</v>
      </c>
      <c r="F5" t="s">
        <v>43</v>
      </c>
      <c r="G5">
        <f>G2-42.5</f>
        <v>248.5</v>
      </c>
      <c r="H5">
        <f>H2-32</f>
        <v>158</v>
      </c>
      <c r="I5">
        <v>1</v>
      </c>
    </row>
    <row r="6" spans="1:9">
      <c r="A6" t="s">
        <v>4</v>
      </c>
      <c r="B6" t="s">
        <v>8</v>
      </c>
      <c r="C6" t="s">
        <v>17</v>
      </c>
      <c r="D6" t="s">
        <v>32</v>
      </c>
      <c r="E6" s="4">
        <v>40.6</v>
      </c>
      <c r="F6">
        <v>28</v>
      </c>
      <c r="G6" s="4" t="s">
        <v>43</v>
      </c>
      <c r="H6" t="s">
        <v>43</v>
      </c>
      <c r="I6">
        <v>1</v>
      </c>
    </row>
    <row r="7" spans="1:9">
      <c r="A7" t="s">
        <v>4</v>
      </c>
      <c r="B7" t="s">
        <v>9</v>
      </c>
      <c r="C7" t="s">
        <v>18</v>
      </c>
      <c r="D7" t="s">
        <v>32</v>
      </c>
      <c r="E7" s="4">
        <v>87.6</v>
      </c>
      <c r="F7">
        <v>55</v>
      </c>
      <c r="G7" t="s">
        <v>43</v>
      </c>
      <c r="H7" t="s">
        <v>43</v>
      </c>
      <c r="I7">
        <v>1</v>
      </c>
    </row>
    <row r="8" spans="1:9">
      <c r="A8" t="s">
        <v>4</v>
      </c>
      <c r="B8" t="s">
        <v>9</v>
      </c>
      <c r="C8" t="s">
        <v>19</v>
      </c>
      <c r="D8" t="s">
        <v>33</v>
      </c>
      <c r="E8" s="4" t="s">
        <v>43</v>
      </c>
      <c r="F8" t="s">
        <v>43</v>
      </c>
      <c r="G8">
        <f>G2-89.8</f>
        <v>201.2</v>
      </c>
      <c r="H8">
        <f>H2-59</f>
        <v>131</v>
      </c>
      <c r="I8">
        <v>1</v>
      </c>
    </row>
    <row r="9" spans="1:9">
      <c r="A9" t="s">
        <v>4</v>
      </c>
      <c r="B9" t="s">
        <v>10</v>
      </c>
      <c r="C9" t="s">
        <v>20</v>
      </c>
      <c r="E9" s="4">
        <v>140</v>
      </c>
      <c r="F9">
        <v>90</v>
      </c>
      <c r="G9">
        <f>G2-140</f>
        <v>151</v>
      </c>
      <c r="H9">
        <f>H2-90</f>
        <v>100</v>
      </c>
      <c r="I9">
        <v>1</v>
      </c>
    </row>
    <row r="10" spans="1:9">
      <c r="A10" t="s">
        <v>4</v>
      </c>
      <c r="B10" t="s">
        <v>11</v>
      </c>
      <c r="C10" t="s">
        <v>21</v>
      </c>
      <c r="D10" t="s">
        <v>32</v>
      </c>
      <c r="E10" s="4">
        <v>186</v>
      </c>
      <c r="F10">
        <v>122</v>
      </c>
      <c r="G10" t="s">
        <v>43</v>
      </c>
      <c r="H10" t="s">
        <v>43</v>
      </c>
      <c r="I10">
        <v>1</v>
      </c>
    </row>
    <row r="11" spans="1:9">
      <c r="A11" t="s">
        <v>4</v>
      </c>
      <c r="B11" t="s">
        <v>11</v>
      </c>
      <c r="C11" t="s">
        <v>22</v>
      </c>
      <c r="D11" t="s">
        <v>33</v>
      </c>
      <c r="E11" s="4" t="s">
        <v>43</v>
      </c>
      <c r="F11" t="s">
        <v>43</v>
      </c>
      <c r="G11">
        <f>G2-186</f>
        <v>105</v>
      </c>
      <c r="H11">
        <f>H2-126</f>
        <v>64</v>
      </c>
      <c r="I11">
        <v>1</v>
      </c>
    </row>
    <row r="12" spans="1:9">
      <c r="A12" t="s">
        <v>4</v>
      </c>
      <c r="B12" t="s">
        <v>11</v>
      </c>
      <c r="C12" t="s">
        <v>23</v>
      </c>
      <c r="D12" t="s">
        <v>32</v>
      </c>
      <c r="E12" s="4">
        <v>235</v>
      </c>
      <c r="F12">
        <v>150</v>
      </c>
      <c r="G12" t="s">
        <v>43</v>
      </c>
      <c r="H12" t="s">
        <v>43</v>
      </c>
      <c r="I12">
        <v>1</v>
      </c>
    </row>
    <row r="13" spans="1:9">
      <c r="A13" t="s">
        <v>4</v>
      </c>
      <c r="B13" t="s">
        <v>11</v>
      </c>
      <c r="C13" t="s">
        <v>24</v>
      </c>
      <c r="D13" t="s">
        <v>33</v>
      </c>
      <c r="E13" s="4" t="s">
        <v>43</v>
      </c>
      <c r="F13" t="s">
        <v>43</v>
      </c>
      <c r="G13">
        <f>G2-241</f>
        <v>50</v>
      </c>
      <c r="H13">
        <f>H2-163</f>
        <v>27</v>
      </c>
      <c r="I13">
        <v>1</v>
      </c>
    </row>
    <row r="14" spans="1:9">
      <c r="A14" t="s">
        <v>4</v>
      </c>
      <c r="B14" t="s">
        <v>11</v>
      </c>
      <c r="C14" t="s">
        <v>25</v>
      </c>
      <c r="D14" t="s">
        <v>32</v>
      </c>
      <c r="E14" s="4">
        <v>284</v>
      </c>
      <c r="F14">
        <v>180</v>
      </c>
      <c r="G14" t="s">
        <v>43</v>
      </c>
      <c r="H14" t="s">
        <v>43</v>
      </c>
      <c r="I14">
        <v>1</v>
      </c>
    </row>
    <row r="15" spans="1:9">
      <c r="A15" t="s">
        <v>4</v>
      </c>
      <c r="B15" t="s">
        <v>11</v>
      </c>
      <c r="C15" t="s">
        <v>26</v>
      </c>
      <c r="D15" t="s">
        <v>33</v>
      </c>
      <c r="E15" s="4" t="s">
        <v>43</v>
      </c>
      <c r="F15" t="s">
        <v>43</v>
      </c>
      <c r="G15">
        <f>G2-287</f>
        <v>4</v>
      </c>
      <c r="H15">
        <f>H2-187</f>
        <v>3</v>
      </c>
      <c r="I15">
        <v>1</v>
      </c>
    </row>
    <row r="16" spans="1:9">
      <c r="A16" t="s">
        <v>5</v>
      </c>
      <c r="B16" t="s">
        <v>12</v>
      </c>
      <c r="C16" t="s">
        <v>35</v>
      </c>
      <c r="D16" t="s">
        <v>34</v>
      </c>
      <c r="E16" s="4">
        <v>0</v>
      </c>
      <c r="F16">
        <v>0</v>
      </c>
      <c r="G16">
        <v>190</v>
      </c>
      <c r="H16">
        <v>40000</v>
      </c>
      <c r="I16" t="s">
        <v>43</v>
      </c>
    </row>
    <row r="17" spans="1:9">
      <c r="A17" t="s">
        <v>5</v>
      </c>
      <c r="B17" t="s">
        <v>12</v>
      </c>
      <c r="C17" t="s">
        <v>27</v>
      </c>
      <c r="E17" s="4">
        <v>38.799999999999997</v>
      </c>
      <c r="F17">
        <v>21</v>
      </c>
      <c r="G17">
        <f>G16-38.8</f>
        <v>151.19999999999999</v>
      </c>
      <c r="H17">
        <f>H16-21</f>
        <v>39979</v>
      </c>
      <c r="I17">
        <v>1</v>
      </c>
    </row>
    <row r="18" spans="1:9">
      <c r="A18" t="s">
        <v>5</v>
      </c>
      <c r="B18" t="s">
        <v>13</v>
      </c>
      <c r="C18" t="s">
        <v>28</v>
      </c>
      <c r="E18" s="4">
        <v>58.9</v>
      </c>
      <c r="F18">
        <v>35</v>
      </c>
      <c r="G18" s="4">
        <f>G16-E18</f>
        <v>131.1</v>
      </c>
      <c r="H18">
        <f>H16-F18</f>
        <v>39965</v>
      </c>
      <c r="I18">
        <v>1</v>
      </c>
    </row>
    <row r="19" spans="1:9">
      <c r="A19" t="s">
        <v>5</v>
      </c>
      <c r="B19" t="s">
        <v>13</v>
      </c>
      <c r="C19" t="s">
        <v>29</v>
      </c>
      <c r="E19" s="4">
        <v>101</v>
      </c>
      <c r="F19">
        <v>59</v>
      </c>
      <c r="G19" s="4">
        <f>G16-E19</f>
        <v>89</v>
      </c>
      <c r="H19">
        <f>H16-F19</f>
        <v>39941</v>
      </c>
      <c r="I19">
        <v>1</v>
      </c>
    </row>
    <row r="20" spans="1:9">
      <c r="A20" t="s">
        <v>5</v>
      </c>
      <c r="B20" t="s">
        <v>13</v>
      </c>
      <c r="C20" t="s">
        <v>30</v>
      </c>
      <c r="D20" t="s">
        <v>34</v>
      </c>
      <c r="E20" s="4">
        <v>185</v>
      </c>
      <c r="F20">
        <v>123</v>
      </c>
    </row>
    <row r="21" spans="1:9">
      <c r="A21" t="s">
        <v>5</v>
      </c>
      <c r="B21" t="s">
        <v>13</v>
      </c>
      <c r="C21" t="s">
        <v>31</v>
      </c>
      <c r="D21" t="s">
        <v>35</v>
      </c>
    </row>
    <row r="26" spans="1:9">
      <c r="A26" t="s">
        <v>40</v>
      </c>
    </row>
    <row r="27" spans="1:9">
      <c r="A27" t="s">
        <v>41</v>
      </c>
    </row>
    <row r="33" spans="1:10" ht="18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18">
      <c r="A34" s="9"/>
      <c r="B34" s="9"/>
      <c r="C34" s="7"/>
      <c r="D34" s="9"/>
      <c r="E34" s="9"/>
      <c r="F34" s="9"/>
      <c r="G34" s="9"/>
      <c r="H34" s="10"/>
      <c r="I34" s="9"/>
      <c r="J34" s="9"/>
    </row>
    <row r="35" spans="1:10">
      <c r="A35" s="9"/>
      <c r="B35" s="9"/>
      <c r="C35" s="8"/>
      <c r="D35" s="9"/>
      <c r="E35" s="9"/>
      <c r="F35" s="9"/>
      <c r="G35" s="9"/>
      <c r="H35" s="10"/>
      <c r="I35" s="9"/>
      <c r="J35" s="9"/>
    </row>
    <row r="36" spans="1:10">
      <c r="A36" s="9"/>
      <c r="B36" s="9"/>
      <c r="C36" s="8"/>
      <c r="D36" s="9"/>
      <c r="E36" s="9"/>
      <c r="F36" s="9"/>
      <c r="G36" s="9"/>
      <c r="H36" s="10"/>
      <c r="I36" s="9"/>
      <c r="J36" s="9"/>
    </row>
    <row r="37" spans="1:10" ht="18">
      <c r="A37" s="7"/>
      <c r="B37" s="7"/>
      <c r="C37" s="7"/>
      <c r="D37" s="7"/>
      <c r="E37" s="7"/>
      <c r="F37" s="7"/>
      <c r="G37" s="7"/>
      <c r="H37" s="8"/>
      <c r="I37" s="7"/>
      <c r="J37" s="8"/>
    </row>
    <row r="38" spans="1:10" ht="18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ht="18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ht="18">
      <c r="A40" s="7"/>
      <c r="B40" s="7"/>
      <c r="C40" s="7"/>
      <c r="D40" s="7"/>
      <c r="E40" s="7"/>
      <c r="F40" s="7"/>
      <c r="G40" s="7"/>
      <c r="H40" s="7"/>
      <c r="I40" s="7"/>
      <c r="J40" s="8"/>
    </row>
    <row r="41" spans="1:10" ht="18">
      <c r="A41" s="7"/>
      <c r="B41" s="7"/>
      <c r="C41" s="7"/>
      <c r="D41" s="7"/>
      <c r="E41" s="7"/>
      <c r="F41" s="7"/>
      <c r="G41" s="7"/>
      <c r="H41" s="7"/>
      <c r="I41" s="7"/>
      <c r="J41" s="8"/>
    </row>
    <row r="42" spans="1:10" ht="18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ht="18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 ht="18">
      <c r="A44" s="7"/>
      <c r="B44" s="7"/>
      <c r="C44" s="7"/>
      <c r="D44" s="7"/>
      <c r="E44" s="7"/>
      <c r="F44" s="7"/>
      <c r="G44" s="7"/>
      <c r="H44" s="7"/>
      <c r="I44" s="7"/>
      <c r="J44" s="8"/>
    </row>
    <row r="45" spans="1:10" ht="18">
      <c r="A45" s="7"/>
      <c r="B45" s="7"/>
      <c r="C45" s="7"/>
      <c r="D45" s="7"/>
      <c r="E45" s="7"/>
      <c r="F45" s="7"/>
      <c r="G45" s="7"/>
      <c r="H45" s="7"/>
      <c r="I45" s="7"/>
      <c r="J45" s="8"/>
    </row>
    <row r="46" spans="1:10" ht="18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ht="18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 ht="18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 ht="18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 ht="18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 ht="18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ht="18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 ht="18">
      <c r="A53" s="7"/>
      <c r="B53" s="7"/>
      <c r="C53" s="7"/>
      <c r="D53" s="7"/>
      <c r="E53" s="7"/>
      <c r="F53" s="7"/>
      <c r="G53" s="7"/>
      <c r="H53" s="7"/>
      <c r="I53" s="7"/>
      <c r="J53" s="8"/>
    </row>
    <row r="54" spans="1:10" ht="18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 ht="18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 ht="18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 ht="18">
      <c r="A57" s="7"/>
      <c r="B57" s="7"/>
      <c r="C57" s="7"/>
      <c r="D57" s="7"/>
      <c r="E57" s="7"/>
      <c r="F57" s="7"/>
      <c r="G57" s="7"/>
      <c r="H57" s="7"/>
      <c r="I57" s="7"/>
      <c r="J57" s="8"/>
    </row>
  </sheetData>
  <mergeCells count="9">
    <mergeCell ref="H34:H36"/>
    <mergeCell ref="I34:I36"/>
    <mergeCell ref="J34:J36"/>
    <mergeCell ref="A34:A36"/>
    <mergeCell ref="B34:B36"/>
    <mergeCell ref="D34:D36"/>
    <mergeCell ref="E34:E36"/>
    <mergeCell ref="F34:F36"/>
    <mergeCell ref="G34:G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Océane Carrillo</cp:lastModifiedBy>
  <dcterms:created xsi:type="dcterms:W3CDTF">2026-05-12T11:45:04Z</dcterms:created>
  <dcterms:modified xsi:type="dcterms:W3CDTF">2026-05-13T13:03:45Z</dcterms:modified>
</cp:coreProperties>
</file>